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ucaspenney/Documents/McGill/MGSC 662/Skyline Group Project/"/>
    </mc:Choice>
  </mc:AlternateContent>
  <xr:revisionPtr revIDLastSave="0" documentId="13_ncr:1_{D858C087-269F-A14C-BFE5-81AC94B9E6C6}" xr6:coauthVersionLast="47" xr6:coauthVersionMax="47" xr10:uidLastSave="{00000000-0000-0000-0000-000000000000}"/>
  <bookViews>
    <workbookView xWindow="-29400" yWindow="3220" windowWidth="29400" windowHeight="18380" xr2:uid="{741425EB-6119-46A9-84C2-B30F927C2C54}"/>
  </bookViews>
  <sheets>
    <sheet name="Full Menu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E88" i="4"/>
  <c r="E87" i="4"/>
  <c r="E86" i="4"/>
  <c r="E84" i="4"/>
  <c r="E83" i="4"/>
  <c r="E81" i="4"/>
  <c r="E80" i="4"/>
  <c r="E79" i="4"/>
  <c r="E77" i="4"/>
  <c r="E76" i="4"/>
  <c r="E75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5" i="4"/>
  <c r="E54" i="4"/>
  <c r="E53" i="4"/>
  <c r="E52" i="4"/>
  <c r="E51" i="4"/>
  <c r="E50" i="4"/>
  <c r="E48" i="4"/>
  <c r="E47" i="4"/>
  <c r="E46" i="4"/>
  <c r="E45" i="4"/>
  <c r="E44" i="4"/>
  <c r="E42" i="4"/>
  <c r="E41" i="4"/>
  <c r="E40" i="4"/>
  <c r="E39" i="4"/>
  <c r="E38" i="4"/>
  <c r="E37" i="4"/>
  <c r="E36" i="4"/>
  <c r="E35" i="4"/>
  <c r="E33" i="4"/>
  <c r="E32" i="4"/>
  <c r="E31" i="4"/>
  <c r="E30" i="4"/>
  <c r="E29" i="4"/>
  <c r="E28" i="4"/>
  <c r="E27" i="4"/>
  <c r="E25" i="4"/>
  <c r="E23" i="4"/>
  <c r="E22" i="4"/>
  <c r="E21" i="4"/>
  <c r="E20" i="4"/>
  <c r="E19" i="4"/>
  <c r="E18" i="4"/>
  <c r="E16" i="4"/>
  <c r="E14" i="4"/>
  <c r="E13" i="4"/>
  <c r="E12" i="4"/>
  <c r="E10" i="4"/>
  <c r="E9" i="4"/>
  <c r="E8" i="4"/>
  <c r="E4" i="4"/>
  <c r="E5" i="4"/>
  <c r="E6" i="4"/>
  <c r="C6" i="4"/>
  <c r="C88" i="4"/>
  <c r="C84" i="4"/>
  <c r="C81" i="4"/>
  <c r="C80" i="4"/>
  <c r="C77" i="4"/>
  <c r="C76" i="4"/>
  <c r="C73" i="4"/>
  <c r="C72" i="4"/>
  <c r="C71" i="4"/>
  <c r="C70" i="4"/>
  <c r="C69" i="4"/>
  <c r="C68" i="4"/>
  <c r="C67" i="4"/>
  <c r="C66" i="4"/>
  <c r="C55" i="4"/>
  <c r="C54" i="4"/>
  <c r="C53" i="4"/>
  <c r="C48" i="4"/>
  <c r="C42" i="4"/>
  <c r="C41" i="4"/>
  <c r="C40" i="4"/>
  <c r="C39" i="4"/>
  <c r="C33" i="4"/>
  <c r="C32" i="4"/>
  <c r="C31" i="4"/>
  <c r="C30" i="4"/>
  <c r="C25" i="4"/>
  <c r="C23" i="4"/>
  <c r="C22" i="4"/>
  <c r="C21" i="4"/>
  <c r="C20" i="4"/>
  <c r="C16" i="4"/>
  <c r="C9" i="4"/>
  <c r="C8" i="4"/>
</calcChain>
</file>

<file path=xl/sharedStrings.xml><?xml version="1.0" encoding="utf-8"?>
<sst xmlns="http://schemas.openxmlformats.org/spreadsheetml/2006/main" count="94" uniqueCount="83">
  <si>
    <t>Item</t>
  </si>
  <si>
    <t>WINE</t>
  </si>
  <si>
    <t>Jacob’s Creek Prosecco, Australia</t>
  </si>
  <si>
    <t xml:space="preserve">Church Road, Hawke’s Bay	</t>
  </si>
  <si>
    <t>Sauvignon Blanc</t>
  </si>
  <si>
    <t>Rabbit Ranch, Central Otago</t>
  </si>
  <si>
    <t>Festival Block, Marlborough</t>
  </si>
  <si>
    <t>Pinot Gris</t>
  </si>
  <si>
    <t>Festival Block, Waipara</t>
  </si>
  <si>
    <t>Riesling</t>
  </si>
  <si>
    <t xml:space="preserve">Montana Classics, Waipara </t>
  </si>
  <si>
    <t>Chardonnay</t>
  </si>
  <si>
    <t>Ant Moore, Marlborough</t>
  </si>
  <si>
    <t>Festival Block, Gisborne</t>
  </si>
  <si>
    <t>Pinot Noir</t>
  </si>
  <si>
    <t>Kings Road, Waipara</t>
  </si>
  <si>
    <t>Merlot</t>
  </si>
  <si>
    <t>Brancott Estate, Hawke’s Bay</t>
  </si>
  <si>
    <t>Cabernet Sauvignon</t>
  </si>
  <si>
    <t>Jacob’s Creek Double Barrel, Barossa Valley</t>
  </si>
  <si>
    <t>Shiraz/Syrah</t>
  </si>
  <si>
    <t>Jacob’s Creek Reserve, Barossa Valley</t>
  </si>
  <si>
    <t>Champagne (G - 120ml)</t>
  </si>
  <si>
    <t>Veuve Clicquot Rosé, Reims, France</t>
  </si>
  <si>
    <t>Veuve Clicquot, Reims, France</t>
  </si>
  <si>
    <t>Pelorus Brut, Marlborough</t>
  </si>
  <si>
    <t>Brancott Estate Brut Cuvee, Marlborough</t>
  </si>
  <si>
    <t>Other Wine</t>
  </si>
  <si>
    <t>Domaine Thomson “Ez Chêne”, Mercury, Burgundy</t>
  </si>
  <si>
    <t>Red Shed Pinot Blanc, Central Otago</t>
  </si>
  <si>
    <t>Terrazas Reserva Malbec, Argentina</t>
  </si>
  <si>
    <t>Spy Valley Gewürztraminer, Blenheim</t>
  </si>
  <si>
    <t>Moscato White Dots, Australia</t>
  </si>
  <si>
    <t>Rosé</t>
  </si>
  <si>
    <t>Chateau d'Esclands Whispering Angel, Côtes de Provence</t>
  </si>
  <si>
    <t>Church Road Gwen, Hawke’s Bay</t>
  </si>
  <si>
    <t>Gibbston Valley, Central Otago</t>
  </si>
  <si>
    <t>Bright Eyes White Pinot, Central Otago</t>
  </si>
  <si>
    <t>Terra Sancta Rosé, Central Otago</t>
  </si>
  <si>
    <t>Dessert Wine</t>
  </si>
  <si>
    <t>Gibbston Late Harvest Pinot Gris, Central Otago</t>
  </si>
  <si>
    <t>Church Road Grand Reserve,  Hawkes Bay</t>
  </si>
  <si>
    <t>Cloudy Bay, Marlborough</t>
  </si>
  <si>
    <t>Stoneleigh ‘Rapaura Series’, Marlborough</t>
  </si>
  <si>
    <t>Triplebank, Marlborough</t>
  </si>
  <si>
    <t>School House, Central Otago</t>
  </si>
  <si>
    <t>Peregrine, Central Otago</t>
  </si>
  <si>
    <t>Hawkshead, Central Otago</t>
  </si>
  <si>
    <t>Terra Sancta Lola’s Block, Central Otago</t>
  </si>
  <si>
    <t>Mt Rosa, Central Otago</t>
  </si>
  <si>
    <t>Mysterious Diggings, Central Otago</t>
  </si>
  <si>
    <t>Red Shed, Central Otago</t>
  </si>
  <si>
    <t>Chard Farm, Central Otago</t>
  </si>
  <si>
    <t>Saddleback, Central Otago</t>
  </si>
  <si>
    <t>Camshorn, Waipara</t>
  </si>
  <si>
    <t>Domaine Thomson Left Bank, Central Otago</t>
  </si>
  <si>
    <t>China Terrace, Central Otago</t>
  </si>
  <si>
    <t>The Last Shepherd, Gisborne</t>
  </si>
  <si>
    <t>Gibbston Valley GR, Central Otago</t>
  </si>
  <si>
    <t>The Viper, Central Otago</t>
  </si>
  <si>
    <t>Domaine Thomson 'Rows 1-37', Central Otago</t>
  </si>
  <si>
    <t>Valli Gibbston Vineyard, Central Otago</t>
  </si>
  <si>
    <t>Glenlee, Central Otago</t>
  </si>
  <si>
    <t>Surveyor Thomson, Central Otago</t>
  </si>
  <si>
    <t>Stoneleigh Rapaura Series, Marlborough</t>
  </si>
  <si>
    <t>Mt. Michael Estate, Central Otago</t>
  </si>
  <si>
    <t>Explorer, Central Otago</t>
  </si>
  <si>
    <t xml:space="preserve">Triplebank, Awatere Valley </t>
  </si>
  <si>
    <t>Church Road McDonald Series, Hawke’s Bay</t>
  </si>
  <si>
    <t>Stoneleigh , Marlborough</t>
  </si>
  <si>
    <t>Merlot Blends</t>
  </si>
  <si>
    <t>Church Road Grand Reserve, Hawke’s Bay</t>
  </si>
  <si>
    <t>Festival Block, Hawke’s Bay</t>
  </si>
  <si>
    <t>St Hugo, Coonawarra</t>
  </si>
  <si>
    <t>The Last Shepherd, Hawke’s Bay</t>
  </si>
  <si>
    <r>
      <rPr>
        <sz val="11"/>
        <color theme="1"/>
        <rFont val="Aptos Narrow"/>
        <family val="2"/>
        <scheme val="minor"/>
      </rPr>
      <t>Mo</t>
    </r>
    <r>
      <rPr>
        <sz val="11"/>
        <color theme="1"/>
        <rFont val="Aptos Narrow"/>
        <family val="2"/>
      </rPr>
      <t>ë</t>
    </r>
    <r>
      <rPr>
        <sz val="11"/>
        <color theme="1"/>
        <rFont val="Aptos Narrow"/>
        <family val="2"/>
        <scheme val="minor"/>
      </rPr>
      <t>t Chandon, Épernay, France</t>
    </r>
  </si>
  <si>
    <r>
      <t>M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thode Traditionelle (G -120ml)</t>
    </r>
  </si>
  <si>
    <t>COGS</t>
  </si>
  <si>
    <t>COST</t>
  </si>
  <si>
    <t xml:space="preserve"> Glass ($)</t>
  </si>
  <si>
    <t xml:space="preserve"> Bottle</t>
  </si>
  <si>
    <t>LEAD TIME
(DAYS)</t>
  </si>
  <si>
    <t>Stratosfare Moon Block, Central Otago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</si>
</sst>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0" fontId="1" fillId="3" borderId="1" xfId="0" applyFont="1" applyFill="1" applyBorder="1" applyAlignment="1">
      <alignment vertical="center"/>
    </xf>
    <xf numFmtId="0" fontId="0" fillId="0" borderId="1" xfId="0" applyBorder="1"/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1" xfId="1" applyFont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09A1-1142-474B-9B10-13DFBA2A4DF8}">
  <dimension ref="A1:G88"/>
  <sheetViews>
    <sheetView showGridLines="0" tabSelected="1" zoomScale="130" zoomScaleNormal="130" workbookViewId="0">
      <pane ySplit="1" topLeftCell="A7" activePane="bottomLeft" state="frozen"/>
      <selection pane="bottomLeft" activeCell="A32" sqref="A32"/>
    </sheetView>
  </sheetViews>
  <sheetFormatPr baseColWidth="10" defaultColWidth="8.6640625" defaultRowHeight="15" x14ac:dyDescent="0.2"/>
  <cols>
    <col min="1" max="1" width="55.5" customWidth="1"/>
    <col min="2" max="4" width="18.6640625" style="16" customWidth="1"/>
    <col min="5" max="6" width="18.6640625" customWidth="1"/>
    <col min="7" max="7" width="14.5" customWidth="1"/>
  </cols>
  <sheetData>
    <row r="1" spans="1:7" ht="32" x14ac:dyDescent="0.2">
      <c r="A1" s="4" t="s">
        <v>0</v>
      </c>
      <c r="B1" s="4" t="s">
        <v>79</v>
      </c>
      <c r="C1" s="4" t="s">
        <v>77</v>
      </c>
      <c r="D1" s="4" t="s">
        <v>80</v>
      </c>
      <c r="E1" s="8" t="s">
        <v>77</v>
      </c>
      <c r="F1" s="8" t="s">
        <v>78</v>
      </c>
      <c r="G1" s="18" t="s">
        <v>81</v>
      </c>
    </row>
    <row r="2" spans="1:7" x14ac:dyDescent="0.2">
      <c r="A2" s="5" t="s">
        <v>1</v>
      </c>
      <c r="B2" s="11"/>
      <c r="C2" s="11"/>
      <c r="D2" s="11"/>
      <c r="E2" s="5"/>
      <c r="F2" s="5"/>
      <c r="G2" s="5"/>
    </row>
    <row r="3" spans="1:7" x14ac:dyDescent="0.2">
      <c r="A3" s="6" t="s">
        <v>22</v>
      </c>
      <c r="B3" s="12"/>
      <c r="C3" s="12"/>
      <c r="D3" s="12"/>
      <c r="E3" s="6"/>
      <c r="F3" s="6"/>
      <c r="G3" s="6"/>
    </row>
    <row r="4" spans="1:7" x14ac:dyDescent="0.2">
      <c r="A4" s="1" t="s">
        <v>23</v>
      </c>
      <c r="B4" s="13"/>
      <c r="C4" s="13"/>
      <c r="D4" s="14">
        <v>198</v>
      </c>
      <c r="E4" s="17">
        <f t="shared" ref="E4:E5" si="0">+(($F4)/($D4/1.15))</f>
        <v>0.61757323232323225</v>
      </c>
      <c r="F4" s="9">
        <v>106.33</v>
      </c>
      <c r="G4" s="9">
        <v>3</v>
      </c>
    </row>
    <row r="5" spans="1:7" x14ac:dyDescent="0.2">
      <c r="A5" s="1" t="s">
        <v>24</v>
      </c>
      <c r="B5" s="13"/>
      <c r="C5" s="13"/>
      <c r="D5" s="14">
        <v>156</v>
      </c>
      <c r="E5" s="17">
        <f t="shared" si="0"/>
        <v>0.47518589743589734</v>
      </c>
      <c r="F5" s="9">
        <v>64.459999999999994</v>
      </c>
      <c r="G5" s="9">
        <v>3</v>
      </c>
    </row>
    <row r="6" spans="1:7" x14ac:dyDescent="0.2">
      <c r="A6" s="7" t="s">
        <v>75</v>
      </c>
      <c r="B6" s="14">
        <v>23</v>
      </c>
      <c r="C6" s="17">
        <f>+(($F6/750)*120)/($B6/1.15)</f>
        <v>0.44967999999999997</v>
      </c>
      <c r="D6" s="14">
        <v>124</v>
      </c>
      <c r="E6" s="17">
        <f>+(($F6)/($D6/1.15))</f>
        <v>0.52130241935483868</v>
      </c>
      <c r="F6" s="9">
        <v>56.21</v>
      </c>
      <c r="G6" s="9">
        <v>3</v>
      </c>
    </row>
    <row r="7" spans="1:7" x14ac:dyDescent="0.2">
      <c r="A7" s="6" t="s">
        <v>76</v>
      </c>
      <c r="B7" s="12"/>
      <c r="C7" s="12"/>
      <c r="D7" s="12"/>
      <c r="E7" s="6"/>
      <c r="F7" s="6"/>
      <c r="G7" s="6"/>
    </row>
    <row r="8" spans="1:7" x14ac:dyDescent="0.2">
      <c r="A8" s="1" t="s">
        <v>25</v>
      </c>
      <c r="B8" s="14">
        <v>20</v>
      </c>
      <c r="C8" s="17">
        <f t="shared" ref="C8:C9" si="1">+((F8/750)*120)/(B8/1.15)</f>
        <v>0.23193199999999994</v>
      </c>
      <c r="D8" s="14">
        <v>101</v>
      </c>
      <c r="E8" s="17">
        <f t="shared" ref="E8:E10" si="2">+(($F8)/($D8/1.15))</f>
        <v>0.28704455445544552</v>
      </c>
      <c r="F8" s="9">
        <v>25.21</v>
      </c>
      <c r="G8" s="9">
        <v>3</v>
      </c>
    </row>
    <row r="9" spans="1:7" x14ac:dyDescent="0.2">
      <c r="A9" s="1" t="s">
        <v>2</v>
      </c>
      <c r="B9" s="14">
        <v>15</v>
      </c>
      <c r="C9" s="17">
        <f t="shared" si="1"/>
        <v>0.14989866666666665</v>
      </c>
      <c r="D9" s="14">
        <v>75</v>
      </c>
      <c r="E9" s="17">
        <f t="shared" si="2"/>
        <v>0.18737333333333334</v>
      </c>
      <c r="F9" s="9">
        <v>12.22</v>
      </c>
      <c r="G9" s="9">
        <v>1</v>
      </c>
    </row>
    <row r="10" spans="1:7" x14ac:dyDescent="0.2">
      <c r="A10" s="3" t="s">
        <v>26</v>
      </c>
      <c r="B10" s="13"/>
      <c r="C10" s="13"/>
      <c r="D10" s="14">
        <v>60</v>
      </c>
      <c r="E10" s="17">
        <f t="shared" si="2"/>
        <v>0.20834166666666665</v>
      </c>
      <c r="F10" s="9">
        <v>10.87</v>
      </c>
      <c r="G10" s="9">
        <v>1</v>
      </c>
    </row>
    <row r="11" spans="1:7" x14ac:dyDescent="0.2">
      <c r="A11" s="6" t="s">
        <v>27</v>
      </c>
      <c r="B11" s="12"/>
      <c r="C11" s="12"/>
      <c r="D11" s="12"/>
      <c r="E11" s="6"/>
      <c r="F11" s="6"/>
      <c r="G11" s="6"/>
    </row>
    <row r="12" spans="1:7" x14ac:dyDescent="0.2">
      <c r="A12" s="1" t="s">
        <v>28</v>
      </c>
      <c r="B12" s="13"/>
      <c r="C12" s="13"/>
      <c r="D12" s="14">
        <v>220</v>
      </c>
      <c r="E12" s="17">
        <f t="shared" ref="E12:E16" si="3">+(($F12)/($D12/1.15))</f>
        <v>0.35545454545454541</v>
      </c>
      <c r="F12" s="9">
        <v>68</v>
      </c>
      <c r="G12" s="9">
        <v>3</v>
      </c>
    </row>
    <row r="13" spans="1:7" x14ac:dyDescent="0.2">
      <c r="A13" s="1" t="s">
        <v>29</v>
      </c>
      <c r="B13" s="13"/>
      <c r="C13" s="13"/>
      <c r="D13" s="14">
        <v>110</v>
      </c>
      <c r="E13" s="17">
        <f t="shared" si="3"/>
        <v>0.26136363636363635</v>
      </c>
      <c r="F13" s="9">
        <v>25</v>
      </c>
      <c r="G13" s="9">
        <v>3</v>
      </c>
    </row>
    <row r="14" spans="1:7" x14ac:dyDescent="0.2">
      <c r="A14" s="1" t="s">
        <v>30</v>
      </c>
      <c r="B14" s="13"/>
      <c r="C14" s="13"/>
      <c r="D14" s="14">
        <v>90</v>
      </c>
      <c r="E14" s="17">
        <f t="shared" si="3"/>
        <v>0.29120555555555555</v>
      </c>
      <c r="F14" s="9">
        <v>22.79</v>
      </c>
      <c r="G14" s="9">
        <v>1</v>
      </c>
    </row>
    <row r="15" spans="1:7" x14ac:dyDescent="0.2">
      <c r="A15" s="1" t="s">
        <v>31</v>
      </c>
      <c r="B15" s="13"/>
      <c r="C15" s="13"/>
      <c r="D15" s="14">
        <v>77</v>
      </c>
      <c r="E15" s="17">
        <f t="shared" si="3"/>
        <v>0.26883116883116881</v>
      </c>
      <c r="F15" s="9">
        <v>18</v>
      </c>
      <c r="G15" s="9">
        <v>3</v>
      </c>
    </row>
    <row r="16" spans="1:7" x14ac:dyDescent="0.2">
      <c r="A16" s="1" t="s">
        <v>32</v>
      </c>
      <c r="B16" s="14">
        <v>15</v>
      </c>
      <c r="C16" s="17">
        <f>+((F16/750)*150)/(B16/1.15)</f>
        <v>0.13677333333333333</v>
      </c>
      <c r="D16" s="14">
        <v>58</v>
      </c>
      <c r="E16" s="17">
        <f t="shared" si="3"/>
        <v>0.17686206896551723</v>
      </c>
      <c r="F16" s="9">
        <v>8.92</v>
      </c>
      <c r="G16" s="9">
        <v>1</v>
      </c>
    </row>
    <row r="17" spans="1:7" x14ac:dyDescent="0.2">
      <c r="A17" s="6" t="s">
        <v>33</v>
      </c>
      <c r="B17" s="12">
        <v>150</v>
      </c>
      <c r="C17" s="12"/>
      <c r="D17" s="12"/>
      <c r="E17" s="6"/>
      <c r="F17" s="6"/>
      <c r="G17" s="6"/>
    </row>
    <row r="18" spans="1:7" x14ac:dyDescent="0.2">
      <c r="A18" s="1" t="s">
        <v>34</v>
      </c>
      <c r="B18" s="13"/>
      <c r="C18" s="13"/>
      <c r="D18" s="14">
        <v>120</v>
      </c>
      <c r="E18" s="17">
        <f t="shared" ref="E18:E23" si="4">+(($F18)/($D18/1.15))</f>
        <v>0.24437499999999998</v>
      </c>
      <c r="F18" s="9">
        <v>25.5</v>
      </c>
      <c r="G18" s="9">
        <v>3</v>
      </c>
    </row>
    <row r="19" spans="1:7" x14ac:dyDescent="0.2">
      <c r="A19" s="1" t="s">
        <v>35</v>
      </c>
      <c r="B19" s="13"/>
      <c r="C19" s="13"/>
      <c r="D19" s="14">
        <v>95</v>
      </c>
      <c r="E19" s="17">
        <f t="shared" si="4"/>
        <v>0.20784736842105264</v>
      </c>
      <c r="F19" s="9">
        <v>17.170000000000002</v>
      </c>
      <c r="G19" s="9">
        <v>1</v>
      </c>
    </row>
    <row r="20" spans="1:7" x14ac:dyDescent="0.2">
      <c r="A20" s="1" t="s">
        <v>36</v>
      </c>
      <c r="B20" s="14">
        <v>19</v>
      </c>
      <c r="C20" s="17">
        <f t="shared" ref="C20:C23" si="5">+((F20/750)*150)/(B20/1.15)</f>
        <v>0.21184210526315786</v>
      </c>
      <c r="D20" s="14">
        <v>90</v>
      </c>
      <c r="E20" s="17">
        <f t="shared" si="4"/>
        <v>0.22361111111111112</v>
      </c>
      <c r="F20" s="9">
        <v>17.5</v>
      </c>
      <c r="G20" s="9">
        <v>3</v>
      </c>
    </row>
    <row r="21" spans="1:7" x14ac:dyDescent="0.2">
      <c r="A21" s="1" t="s">
        <v>37</v>
      </c>
      <c r="B21" s="14">
        <v>18</v>
      </c>
      <c r="C21" s="17">
        <f t="shared" si="5"/>
        <v>0.21722222222222221</v>
      </c>
      <c r="D21" s="14">
        <v>85</v>
      </c>
      <c r="E21" s="17">
        <f t="shared" si="4"/>
        <v>0.22999999999999998</v>
      </c>
      <c r="F21" s="9">
        <v>17</v>
      </c>
      <c r="G21" s="9">
        <v>1</v>
      </c>
    </row>
    <row r="22" spans="1:7" x14ac:dyDescent="0.2">
      <c r="A22" s="1" t="s">
        <v>38</v>
      </c>
      <c r="B22" s="15">
        <v>17.5</v>
      </c>
      <c r="C22" s="17">
        <f t="shared" si="5"/>
        <v>0.22973714285714283</v>
      </c>
      <c r="D22" s="14">
        <v>80</v>
      </c>
      <c r="E22" s="17">
        <f t="shared" si="4"/>
        <v>0.25127499999999997</v>
      </c>
      <c r="F22" s="9">
        <v>17.48</v>
      </c>
      <c r="G22" s="9">
        <v>3</v>
      </c>
    </row>
    <row r="23" spans="1:7" x14ac:dyDescent="0.2">
      <c r="A23" s="1" t="s">
        <v>3</v>
      </c>
      <c r="B23" s="14">
        <v>16</v>
      </c>
      <c r="C23" s="17">
        <f t="shared" si="5"/>
        <v>0.20628124999999994</v>
      </c>
      <c r="D23" s="14">
        <v>70</v>
      </c>
      <c r="E23" s="17">
        <f t="shared" si="4"/>
        <v>0.23574999999999996</v>
      </c>
      <c r="F23" s="9">
        <v>14.35</v>
      </c>
      <c r="G23" s="9">
        <v>1</v>
      </c>
    </row>
    <row r="24" spans="1:7" x14ac:dyDescent="0.2">
      <c r="A24" s="6" t="s">
        <v>39</v>
      </c>
      <c r="B24" s="12">
        <v>150</v>
      </c>
      <c r="C24" s="12"/>
      <c r="D24" s="12"/>
      <c r="E24" s="6"/>
      <c r="F24" s="6"/>
      <c r="G24" s="6"/>
    </row>
    <row r="25" spans="1:7" x14ac:dyDescent="0.2">
      <c r="A25" s="1" t="s">
        <v>40</v>
      </c>
      <c r="B25" s="14">
        <v>14</v>
      </c>
      <c r="C25" s="17">
        <f>+((F25/750)*150)/(B25/1.15)</f>
        <v>0.29571428571428571</v>
      </c>
      <c r="D25" s="14">
        <v>72</v>
      </c>
      <c r="E25" s="17">
        <f t="shared" ref="E25" si="6">+(($F25)/($D25/1.15))</f>
        <v>0.28749999999999998</v>
      </c>
      <c r="F25" s="9">
        <v>18</v>
      </c>
      <c r="G25" s="9">
        <v>3</v>
      </c>
    </row>
    <row r="26" spans="1:7" x14ac:dyDescent="0.2">
      <c r="A26" s="6" t="s">
        <v>4</v>
      </c>
      <c r="B26" s="12">
        <v>150</v>
      </c>
      <c r="C26" s="12"/>
      <c r="D26" s="12"/>
      <c r="E26" s="6"/>
      <c r="F26" s="6"/>
      <c r="G26" s="6"/>
    </row>
    <row r="27" spans="1:7" x14ac:dyDescent="0.2">
      <c r="A27" s="1" t="s">
        <v>41</v>
      </c>
      <c r="B27" s="13"/>
      <c r="C27" s="13"/>
      <c r="D27" s="14">
        <v>110</v>
      </c>
      <c r="E27" s="17">
        <f t="shared" ref="E27:E33" si="7">+(($F27)/($D27/1.15))</f>
        <v>0.28718636363636363</v>
      </c>
      <c r="F27" s="9">
        <v>27.47</v>
      </c>
      <c r="G27" s="9">
        <v>1</v>
      </c>
    </row>
    <row r="28" spans="1:7" x14ac:dyDescent="0.2">
      <c r="A28" s="1" t="s">
        <v>42</v>
      </c>
      <c r="B28" s="13"/>
      <c r="C28" s="13"/>
      <c r="D28" s="14">
        <v>101</v>
      </c>
      <c r="E28" s="17">
        <f t="shared" si="7"/>
        <v>0.31391584158415836</v>
      </c>
      <c r="F28" s="9">
        <v>27.57</v>
      </c>
      <c r="G28" s="9">
        <v>3</v>
      </c>
    </row>
    <row r="29" spans="1:7" x14ac:dyDescent="0.2">
      <c r="A29" s="1" t="s">
        <v>43</v>
      </c>
      <c r="B29" s="13"/>
      <c r="C29" s="13"/>
      <c r="D29" s="14">
        <v>90</v>
      </c>
      <c r="E29" s="17">
        <f t="shared" si="7"/>
        <v>0.22808333333333336</v>
      </c>
      <c r="F29" s="9">
        <v>17.850000000000001</v>
      </c>
      <c r="G29" s="9">
        <v>1</v>
      </c>
    </row>
    <row r="30" spans="1:7" x14ac:dyDescent="0.2">
      <c r="A30" s="1" t="s">
        <v>44</v>
      </c>
      <c r="B30" s="14">
        <v>18</v>
      </c>
      <c r="C30" s="17">
        <f t="shared" ref="C30:C33" si="8">+((F30/750)*150)/(B30/1.15)</f>
        <v>0.1794</v>
      </c>
      <c r="D30" s="14">
        <v>72</v>
      </c>
      <c r="E30" s="17">
        <f t="shared" si="7"/>
        <v>0.22424999999999995</v>
      </c>
      <c r="F30" s="9">
        <v>14.04</v>
      </c>
      <c r="G30" s="9">
        <v>1</v>
      </c>
    </row>
    <row r="31" spans="1:7" x14ac:dyDescent="0.2">
      <c r="A31" s="1" t="s">
        <v>12</v>
      </c>
      <c r="B31" s="14">
        <v>17</v>
      </c>
      <c r="C31" s="17">
        <f t="shared" si="8"/>
        <v>0.1738529411764706</v>
      </c>
      <c r="D31" s="14">
        <v>70</v>
      </c>
      <c r="E31" s="17">
        <f t="shared" si="7"/>
        <v>0.21110714285714283</v>
      </c>
      <c r="F31" s="9">
        <v>12.85</v>
      </c>
      <c r="G31" s="9">
        <v>3</v>
      </c>
    </row>
    <row r="32" spans="1:7" x14ac:dyDescent="0.2">
      <c r="A32" s="1" t="s">
        <v>5</v>
      </c>
      <c r="B32" s="14">
        <v>16.5</v>
      </c>
      <c r="C32" s="17">
        <f t="shared" si="8"/>
        <v>0.17229090909090905</v>
      </c>
      <c r="D32" s="14">
        <v>68</v>
      </c>
      <c r="E32" s="17">
        <f t="shared" si="7"/>
        <v>0.20902941176470585</v>
      </c>
      <c r="F32" s="9">
        <v>12.36</v>
      </c>
      <c r="G32" s="9">
        <v>1</v>
      </c>
    </row>
    <row r="33" spans="1:7" x14ac:dyDescent="0.2">
      <c r="A33" s="1" t="s">
        <v>6</v>
      </c>
      <c r="B33" s="14">
        <v>15</v>
      </c>
      <c r="C33" s="17">
        <f t="shared" si="8"/>
        <v>0.13493333333333332</v>
      </c>
      <c r="D33" s="15">
        <v>63</v>
      </c>
      <c r="E33" s="17">
        <f t="shared" si="7"/>
        <v>0.16063492063492063</v>
      </c>
      <c r="F33" s="10">
        <v>8.8000000000000007</v>
      </c>
      <c r="G33" s="10">
        <v>1</v>
      </c>
    </row>
    <row r="34" spans="1:7" x14ac:dyDescent="0.2">
      <c r="A34" s="6" t="s">
        <v>7</v>
      </c>
      <c r="B34" s="12">
        <v>150</v>
      </c>
      <c r="C34" s="12"/>
      <c r="D34" s="12"/>
      <c r="E34" s="6"/>
      <c r="F34" s="6"/>
      <c r="G34" s="6"/>
    </row>
    <row r="35" spans="1:7" x14ac:dyDescent="0.2">
      <c r="A35" s="1" t="s">
        <v>45</v>
      </c>
      <c r="B35" s="13"/>
      <c r="C35" s="13"/>
      <c r="D35" s="14">
        <v>105</v>
      </c>
      <c r="E35" s="17">
        <f t="shared" ref="E35:E42" si="9">+(($F35)/($D35/1.15))</f>
        <v>0.22999999999999998</v>
      </c>
      <c r="F35" s="9">
        <v>21</v>
      </c>
      <c r="G35" s="9">
        <v>3</v>
      </c>
    </row>
    <row r="36" spans="1:7" x14ac:dyDescent="0.2">
      <c r="A36" s="1" t="s">
        <v>46</v>
      </c>
      <c r="B36" s="13"/>
      <c r="C36" s="13"/>
      <c r="D36" s="14">
        <v>94</v>
      </c>
      <c r="E36" s="17">
        <f t="shared" si="9"/>
        <v>0.25202127659574469</v>
      </c>
      <c r="F36" s="9">
        <v>20.6</v>
      </c>
      <c r="G36" s="9">
        <v>3</v>
      </c>
    </row>
    <row r="37" spans="1:7" x14ac:dyDescent="0.2">
      <c r="A37" s="1" t="s">
        <v>47</v>
      </c>
      <c r="B37" s="13"/>
      <c r="C37" s="13"/>
      <c r="D37" s="14">
        <v>80</v>
      </c>
      <c r="E37" s="17">
        <f t="shared" si="9"/>
        <v>0.29396874999999995</v>
      </c>
      <c r="F37" s="9">
        <v>20.45</v>
      </c>
      <c r="G37" s="9">
        <v>3</v>
      </c>
    </row>
    <row r="38" spans="1:7" x14ac:dyDescent="0.2">
      <c r="A38" s="1" t="s">
        <v>48</v>
      </c>
      <c r="B38" s="13"/>
      <c r="C38" s="13"/>
      <c r="D38" s="14">
        <v>78</v>
      </c>
      <c r="E38" s="17">
        <f t="shared" si="9"/>
        <v>0.26405769230769227</v>
      </c>
      <c r="F38" s="9">
        <v>17.91</v>
      </c>
      <c r="G38" s="9">
        <v>1</v>
      </c>
    </row>
    <row r="39" spans="1:7" x14ac:dyDescent="0.2">
      <c r="A39" s="1" t="s">
        <v>49</v>
      </c>
      <c r="B39" s="14">
        <v>18</v>
      </c>
      <c r="C39" s="17">
        <f t="shared" ref="C39:C42" si="10">+((F39/750)*150)/(B39/1.15)</f>
        <v>0.20699999999999996</v>
      </c>
      <c r="D39" s="14">
        <v>72</v>
      </c>
      <c r="E39" s="17">
        <f t="shared" si="9"/>
        <v>0.25874999999999998</v>
      </c>
      <c r="F39" s="9">
        <v>16.2</v>
      </c>
      <c r="G39" s="9">
        <v>3</v>
      </c>
    </row>
    <row r="40" spans="1:7" x14ac:dyDescent="0.2">
      <c r="A40" s="1" t="s">
        <v>50</v>
      </c>
      <c r="B40" s="14">
        <v>17</v>
      </c>
      <c r="C40" s="17">
        <f t="shared" si="10"/>
        <v>0.20645882352941175</v>
      </c>
      <c r="D40" s="14">
        <v>68</v>
      </c>
      <c r="E40" s="17">
        <f t="shared" si="9"/>
        <v>0.25807352941176465</v>
      </c>
      <c r="F40" s="9">
        <v>15.26</v>
      </c>
      <c r="G40" s="9">
        <v>2</v>
      </c>
    </row>
    <row r="41" spans="1:7" x14ac:dyDescent="0.2">
      <c r="A41" s="1" t="s">
        <v>3</v>
      </c>
      <c r="B41" s="14">
        <v>16</v>
      </c>
      <c r="C41" s="17">
        <f t="shared" si="10"/>
        <v>0.20628124999999994</v>
      </c>
      <c r="D41" s="14">
        <v>65</v>
      </c>
      <c r="E41" s="17">
        <f t="shared" si="9"/>
        <v>0.25388461538461538</v>
      </c>
      <c r="F41" s="9">
        <v>14.35</v>
      </c>
      <c r="G41" s="9">
        <v>1</v>
      </c>
    </row>
    <row r="42" spans="1:7" x14ac:dyDescent="0.2">
      <c r="A42" s="1" t="s">
        <v>8</v>
      </c>
      <c r="B42" s="14">
        <v>15</v>
      </c>
      <c r="C42" s="17">
        <f t="shared" si="10"/>
        <v>0.13493333333333332</v>
      </c>
      <c r="D42" s="14">
        <v>63</v>
      </c>
      <c r="E42" s="17">
        <f t="shared" si="9"/>
        <v>0.16063492063492063</v>
      </c>
      <c r="F42" s="9">
        <v>8.8000000000000007</v>
      </c>
      <c r="G42" s="9">
        <v>1</v>
      </c>
    </row>
    <row r="43" spans="1:7" x14ac:dyDescent="0.2">
      <c r="A43" s="6" t="s">
        <v>9</v>
      </c>
      <c r="B43" s="12">
        <v>150</v>
      </c>
      <c r="C43" s="12"/>
      <c r="D43" s="12"/>
      <c r="E43" s="6"/>
      <c r="F43" s="6"/>
      <c r="G43" s="6"/>
    </row>
    <row r="44" spans="1:7" x14ac:dyDescent="0.2">
      <c r="A44" s="1" t="s">
        <v>51</v>
      </c>
      <c r="B44" s="13"/>
      <c r="C44" s="13"/>
      <c r="D44" s="14">
        <v>95</v>
      </c>
      <c r="E44" s="17">
        <f t="shared" ref="E44:E48" si="11">+(($F44)/($D44/1.15))</f>
        <v>0.2784210526315789</v>
      </c>
      <c r="F44" s="9">
        <v>23</v>
      </c>
      <c r="G44" s="9">
        <v>3</v>
      </c>
    </row>
    <row r="45" spans="1:7" x14ac:dyDescent="0.2">
      <c r="A45" s="1" t="s">
        <v>52</v>
      </c>
      <c r="B45" s="13"/>
      <c r="C45" s="13"/>
      <c r="D45" s="14">
        <v>84</v>
      </c>
      <c r="E45" s="17">
        <f t="shared" si="11"/>
        <v>0.239172619047619</v>
      </c>
      <c r="F45" s="9">
        <v>17.47</v>
      </c>
      <c r="G45" s="9">
        <v>3</v>
      </c>
    </row>
    <row r="46" spans="1:7" x14ac:dyDescent="0.2">
      <c r="A46" s="1" t="s">
        <v>53</v>
      </c>
      <c r="B46" s="13"/>
      <c r="C46" s="13"/>
      <c r="D46" s="14">
        <v>80</v>
      </c>
      <c r="E46" s="17">
        <f t="shared" si="11"/>
        <v>0.24681874999999998</v>
      </c>
      <c r="F46" s="9">
        <v>17.170000000000002</v>
      </c>
      <c r="G46" s="9">
        <v>3</v>
      </c>
    </row>
    <row r="47" spans="1:7" x14ac:dyDescent="0.2">
      <c r="A47" s="1" t="s">
        <v>54</v>
      </c>
      <c r="B47" s="13"/>
      <c r="C47" s="13"/>
      <c r="D47" s="14">
        <v>76</v>
      </c>
      <c r="E47" s="17">
        <f t="shared" si="11"/>
        <v>0.24407236842105259</v>
      </c>
      <c r="F47" s="9">
        <v>16.13</v>
      </c>
      <c r="G47" s="9">
        <v>1</v>
      </c>
    </row>
    <row r="48" spans="1:7" x14ac:dyDescent="0.2">
      <c r="A48" s="1" t="s">
        <v>10</v>
      </c>
      <c r="B48" s="14">
        <v>15</v>
      </c>
      <c r="C48" s="17">
        <f>+((F48/750)*150)/(B48/1.15)</f>
        <v>0.14597333333333332</v>
      </c>
      <c r="D48" s="14">
        <v>63</v>
      </c>
      <c r="E48" s="17">
        <f t="shared" si="11"/>
        <v>0.17377777777777775</v>
      </c>
      <c r="F48" s="9">
        <v>9.52</v>
      </c>
      <c r="G48" s="9">
        <v>1</v>
      </c>
    </row>
    <row r="49" spans="1:7" x14ac:dyDescent="0.2">
      <c r="A49" s="6" t="s">
        <v>11</v>
      </c>
      <c r="B49" s="12">
        <v>150</v>
      </c>
      <c r="C49" s="12"/>
      <c r="D49" s="12"/>
      <c r="E49" s="6"/>
      <c r="F49" s="6"/>
      <c r="G49" s="6"/>
    </row>
    <row r="50" spans="1:7" x14ac:dyDescent="0.2">
      <c r="A50" s="1" t="s">
        <v>55</v>
      </c>
      <c r="B50" s="13"/>
      <c r="C50" s="13"/>
      <c r="D50" s="14">
        <v>110</v>
      </c>
      <c r="E50" s="17">
        <f t="shared" ref="E50:E55" si="12">+(($F50)/($D50/1.15))</f>
        <v>0.2697272727272727</v>
      </c>
      <c r="F50" s="9">
        <v>25.8</v>
      </c>
      <c r="G50" s="9">
        <v>3</v>
      </c>
    </row>
    <row r="51" spans="1:7" x14ac:dyDescent="0.2">
      <c r="A51" s="1" t="s">
        <v>56</v>
      </c>
      <c r="B51" s="13"/>
      <c r="C51" s="13"/>
      <c r="D51" s="14">
        <v>94</v>
      </c>
      <c r="E51" s="17">
        <f t="shared" si="12"/>
        <v>0.3425531914893617</v>
      </c>
      <c r="F51" s="9">
        <v>28</v>
      </c>
      <c r="G51" s="9">
        <v>3</v>
      </c>
    </row>
    <row r="52" spans="1:7" x14ac:dyDescent="0.2">
      <c r="A52" s="1" t="s">
        <v>57</v>
      </c>
      <c r="B52" s="13"/>
      <c r="C52" s="13"/>
      <c r="D52" s="14">
        <v>84</v>
      </c>
      <c r="E52" s="17">
        <f t="shared" si="12"/>
        <v>0.23506547619047619</v>
      </c>
      <c r="F52" s="9">
        <v>17.170000000000002</v>
      </c>
      <c r="G52" s="9">
        <v>1</v>
      </c>
    </row>
    <row r="53" spans="1:7" x14ac:dyDescent="0.2">
      <c r="A53" s="1" t="s">
        <v>58</v>
      </c>
      <c r="B53" s="14">
        <v>17</v>
      </c>
      <c r="C53" s="17">
        <f t="shared" ref="C53:C55" si="13">+((F53/750)*150)/(B53/1.15)</f>
        <v>0.21647058823529408</v>
      </c>
      <c r="D53" s="14">
        <v>72</v>
      </c>
      <c r="E53" s="17">
        <f t="shared" si="12"/>
        <v>0.25555555555555554</v>
      </c>
      <c r="F53" s="9">
        <v>16</v>
      </c>
      <c r="G53" s="9">
        <v>3</v>
      </c>
    </row>
    <row r="54" spans="1:7" x14ac:dyDescent="0.2">
      <c r="A54" s="1" t="s">
        <v>12</v>
      </c>
      <c r="B54" s="14">
        <v>16</v>
      </c>
      <c r="C54" s="17">
        <f t="shared" si="13"/>
        <v>0.18471875000000001</v>
      </c>
      <c r="D54" s="14">
        <v>68</v>
      </c>
      <c r="E54" s="17">
        <f t="shared" si="12"/>
        <v>0.21731617647058821</v>
      </c>
      <c r="F54" s="9">
        <v>12.85</v>
      </c>
      <c r="G54" s="9">
        <v>3</v>
      </c>
    </row>
    <row r="55" spans="1:7" x14ac:dyDescent="0.2">
      <c r="A55" s="1" t="s">
        <v>13</v>
      </c>
      <c r="B55" s="14">
        <v>15</v>
      </c>
      <c r="C55" s="17">
        <f t="shared" si="13"/>
        <v>0.13493333333333332</v>
      </c>
      <c r="D55" s="14">
        <v>63</v>
      </c>
      <c r="E55" s="17">
        <f t="shared" si="12"/>
        <v>0.16063492063492063</v>
      </c>
      <c r="F55" s="9">
        <v>8.8000000000000007</v>
      </c>
      <c r="G55" s="9">
        <v>1</v>
      </c>
    </row>
    <row r="56" spans="1:7" x14ac:dyDescent="0.2">
      <c r="A56" s="6" t="s">
        <v>14</v>
      </c>
      <c r="B56" s="12">
        <v>150</v>
      </c>
      <c r="C56" s="12"/>
      <c r="D56" s="12"/>
      <c r="E56" s="6"/>
      <c r="F56" s="6"/>
      <c r="G56" s="6"/>
    </row>
    <row r="57" spans="1:7" x14ac:dyDescent="0.2">
      <c r="A57" s="1" t="s">
        <v>59</v>
      </c>
      <c r="B57" s="13"/>
      <c r="C57" s="13"/>
      <c r="D57" s="14">
        <v>180</v>
      </c>
      <c r="E57" s="17">
        <f t="shared" ref="E57:E73" si="14">+(($F57)/($D57/1.15))</f>
        <v>0.34231666666666666</v>
      </c>
      <c r="F57" s="9">
        <v>53.58</v>
      </c>
      <c r="G57" s="9">
        <v>3</v>
      </c>
    </row>
    <row r="58" spans="1:7" x14ac:dyDescent="0.2">
      <c r="A58" s="1" t="s">
        <v>60</v>
      </c>
      <c r="B58" s="13"/>
      <c r="C58" s="13"/>
      <c r="D58" s="14">
        <v>177</v>
      </c>
      <c r="E58" s="17">
        <f t="shared" si="14"/>
        <v>0.34305084745762709</v>
      </c>
      <c r="F58" s="9">
        <v>52.8</v>
      </c>
      <c r="G58" s="9">
        <v>3</v>
      </c>
    </row>
    <row r="59" spans="1:7" x14ac:dyDescent="0.2">
      <c r="A59" s="1" t="s">
        <v>61</v>
      </c>
      <c r="B59" s="13"/>
      <c r="C59" s="13"/>
      <c r="D59" s="14">
        <v>165</v>
      </c>
      <c r="E59" s="17">
        <f t="shared" si="14"/>
        <v>0.36172727272727273</v>
      </c>
      <c r="F59" s="9">
        <v>51.9</v>
      </c>
      <c r="G59" s="9">
        <v>3</v>
      </c>
    </row>
    <row r="60" spans="1:7" x14ac:dyDescent="0.2">
      <c r="A60" s="1" t="s">
        <v>62</v>
      </c>
      <c r="B60" s="13"/>
      <c r="C60" s="13"/>
      <c r="D60" s="14">
        <v>160</v>
      </c>
      <c r="E60" s="17">
        <f t="shared" si="14"/>
        <v>0.30187499999999995</v>
      </c>
      <c r="F60" s="9">
        <v>42</v>
      </c>
      <c r="G60" s="9">
        <v>3</v>
      </c>
    </row>
    <row r="61" spans="1:7" x14ac:dyDescent="0.2">
      <c r="A61" s="1" t="s">
        <v>42</v>
      </c>
      <c r="B61" s="13"/>
      <c r="C61" s="13"/>
      <c r="D61" s="14">
        <v>130</v>
      </c>
      <c r="E61" s="17">
        <f t="shared" si="14"/>
        <v>0.30988076923076918</v>
      </c>
      <c r="F61" s="9">
        <v>35.03</v>
      </c>
      <c r="G61" s="9">
        <v>3</v>
      </c>
    </row>
    <row r="62" spans="1:7" x14ac:dyDescent="0.2">
      <c r="A62" s="1" t="s">
        <v>36</v>
      </c>
      <c r="B62" s="13"/>
      <c r="C62" s="13"/>
      <c r="D62" s="14">
        <v>120</v>
      </c>
      <c r="E62" s="17">
        <f t="shared" si="14"/>
        <v>0.23958333333333331</v>
      </c>
      <c r="F62" s="9">
        <v>25</v>
      </c>
      <c r="G62" s="9">
        <v>3</v>
      </c>
    </row>
    <row r="63" spans="1:7" x14ac:dyDescent="0.2">
      <c r="A63" s="2" t="s">
        <v>63</v>
      </c>
      <c r="B63" s="13"/>
      <c r="C63" s="13"/>
      <c r="D63" s="15">
        <v>110</v>
      </c>
      <c r="E63" s="17">
        <f t="shared" si="14"/>
        <v>0.28227272727272723</v>
      </c>
      <c r="F63" s="10">
        <v>27</v>
      </c>
      <c r="G63" s="10">
        <v>3</v>
      </c>
    </row>
    <row r="64" spans="1:7" x14ac:dyDescent="0.2">
      <c r="A64" s="1" t="s">
        <v>64</v>
      </c>
      <c r="B64" s="13"/>
      <c r="C64" s="13"/>
      <c r="D64" s="14">
        <v>100</v>
      </c>
      <c r="E64" s="17">
        <f t="shared" si="14"/>
        <v>0.2369</v>
      </c>
      <c r="F64" s="9">
        <v>20.6</v>
      </c>
      <c r="G64" s="9">
        <v>1</v>
      </c>
    </row>
    <row r="65" spans="1:7" x14ac:dyDescent="0.2">
      <c r="A65" s="1" t="s">
        <v>65</v>
      </c>
      <c r="B65" s="13"/>
      <c r="C65" s="13"/>
      <c r="D65" s="14">
        <v>90</v>
      </c>
      <c r="E65" s="17">
        <f t="shared" si="14"/>
        <v>0.37732777777777782</v>
      </c>
      <c r="F65" s="9">
        <v>29.53</v>
      </c>
      <c r="G65" s="9">
        <v>2</v>
      </c>
    </row>
    <row r="66" spans="1:7" x14ac:dyDescent="0.2">
      <c r="A66" s="1" t="s">
        <v>66</v>
      </c>
      <c r="B66" s="14">
        <v>23</v>
      </c>
      <c r="C66" s="17">
        <f t="shared" ref="C66:C73" si="15">+((F66/750)*150)/(B66/1.15)</f>
        <v>0.185</v>
      </c>
      <c r="D66" s="14">
        <v>87</v>
      </c>
      <c r="E66" s="17">
        <f t="shared" si="14"/>
        <v>0.24454022988505744</v>
      </c>
      <c r="F66" s="9">
        <v>18.5</v>
      </c>
      <c r="G66" s="9">
        <v>3</v>
      </c>
    </row>
    <row r="67" spans="1:7" x14ac:dyDescent="0.2">
      <c r="A67" s="1" t="s">
        <v>53</v>
      </c>
      <c r="B67" s="14">
        <v>22</v>
      </c>
      <c r="C67" s="17">
        <f t="shared" si="15"/>
        <v>0.19340909090909089</v>
      </c>
      <c r="D67" s="14">
        <v>84</v>
      </c>
      <c r="E67" s="17">
        <f t="shared" si="14"/>
        <v>0.25327380952380946</v>
      </c>
      <c r="F67" s="9">
        <v>18.5</v>
      </c>
      <c r="G67" s="9">
        <v>3</v>
      </c>
    </row>
    <row r="68" spans="1:7" x14ac:dyDescent="0.2">
      <c r="A68" s="1" t="s">
        <v>50</v>
      </c>
      <c r="B68" s="14">
        <v>21</v>
      </c>
      <c r="C68" s="17">
        <f t="shared" si="15"/>
        <v>0.20009999999999997</v>
      </c>
      <c r="D68" s="14">
        <v>82</v>
      </c>
      <c r="E68" s="17">
        <f t="shared" si="14"/>
        <v>0.25622560975609754</v>
      </c>
      <c r="F68" s="9">
        <v>18.27</v>
      </c>
      <c r="G68" s="9">
        <v>3</v>
      </c>
    </row>
    <row r="69" spans="1:7" x14ac:dyDescent="0.2">
      <c r="A69" s="1" t="s">
        <v>58</v>
      </c>
      <c r="B69" s="14">
        <v>20</v>
      </c>
      <c r="C69" s="17">
        <f t="shared" si="15"/>
        <v>0.20699999999999996</v>
      </c>
      <c r="D69" s="14">
        <v>80</v>
      </c>
      <c r="E69" s="17">
        <f t="shared" si="14"/>
        <v>0.25874999999999998</v>
      </c>
      <c r="F69" s="9">
        <v>18</v>
      </c>
      <c r="G69" s="9">
        <v>3</v>
      </c>
    </row>
    <row r="70" spans="1:7" x14ac:dyDescent="0.2">
      <c r="A70" s="1" t="s">
        <v>82</v>
      </c>
      <c r="B70" s="14">
        <v>19</v>
      </c>
      <c r="C70" s="17">
        <f t="shared" si="15"/>
        <v>0.19973684210526313</v>
      </c>
      <c r="D70" s="14">
        <v>77</v>
      </c>
      <c r="E70" s="17">
        <f t="shared" si="14"/>
        <v>0.24642857142857141</v>
      </c>
      <c r="F70" s="9">
        <v>16.5</v>
      </c>
      <c r="G70" s="9">
        <v>3</v>
      </c>
    </row>
    <row r="71" spans="1:7" x14ac:dyDescent="0.2">
      <c r="A71" s="1" t="s">
        <v>67</v>
      </c>
      <c r="B71" s="14">
        <v>18</v>
      </c>
      <c r="C71" s="17">
        <f t="shared" si="15"/>
        <v>0.19294444444444442</v>
      </c>
      <c r="D71" s="14">
        <v>75</v>
      </c>
      <c r="E71" s="17">
        <f t="shared" si="14"/>
        <v>0.23153333333333331</v>
      </c>
      <c r="F71" s="9">
        <v>15.1</v>
      </c>
      <c r="G71" s="9">
        <v>1</v>
      </c>
    </row>
    <row r="72" spans="1:7" x14ac:dyDescent="0.2">
      <c r="A72" s="1" t="s">
        <v>15</v>
      </c>
      <c r="B72" s="14">
        <v>16</v>
      </c>
      <c r="C72" s="17">
        <f t="shared" si="15"/>
        <v>0.19736874999999998</v>
      </c>
      <c r="D72" s="14">
        <v>69</v>
      </c>
      <c r="E72" s="17">
        <f t="shared" si="14"/>
        <v>0.22883333333333331</v>
      </c>
      <c r="F72" s="9">
        <v>13.73</v>
      </c>
      <c r="G72" s="9">
        <v>1</v>
      </c>
    </row>
    <row r="73" spans="1:7" x14ac:dyDescent="0.2">
      <c r="A73" s="1" t="s">
        <v>6</v>
      </c>
      <c r="B73" s="14">
        <v>15</v>
      </c>
      <c r="C73" s="17">
        <f t="shared" si="15"/>
        <v>0.13493333333333332</v>
      </c>
      <c r="D73" s="14">
        <v>63</v>
      </c>
      <c r="E73" s="17">
        <f t="shared" si="14"/>
        <v>0.16063492063492063</v>
      </c>
      <c r="F73" s="9">
        <v>8.8000000000000007</v>
      </c>
      <c r="G73" s="9">
        <v>1</v>
      </c>
    </row>
    <row r="74" spans="1:7" x14ac:dyDescent="0.2">
      <c r="A74" s="6" t="s">
        <v>16</v>
      </c>
      <c r="B74" s="12">
        <v>150</v>
      </c>
      <c r="C74" s="12"/>
      <c r="D74" s="12"/>
      <c r="E74" s="6"/>
      <c r="F74" s="6"/>
      <c r="G74" s="6"/>
    </row>
    <row r="75" spans="1:7" x14ac:dyDescent="0.2">
      <c r="A75" s="1" t="s">
        <v>68</v>
      </c>
      <c r="B75" s="13"/>
      <c r="C75" s="13"/>
      <c r="D75" s="14">
        <v>93</v>
      </c>
      <c r="E75" s="17">
        <f t="shared" ref="E75:E77" si="16">+(($F75)/($D75/1.15))</f>
        <v>0.2547311827956989</v>
      </c>
      <c r="F75" s="9">
        <v>20.6</v>
      </c>
      <c r="G75" s="9">
        <v>1</v>
      </c>
    </row>
    <row r="76" spans="1:7" x14ac:dyDescent="0.2">
      <c r="A76" s="1" t="s">
        <v>69</v>
      </c>
      <c r="B76" s="14">
        <v>18</v>
      </c>
      <c r="C76" s="17">
        <f t="shared" ref="C76:C77" si="17">+((F76/750)*150)/(B76/1.15)</f>
        <v>0.17505555555555555</v>
      </c>
      <c r="D76" s="14">
        <v>78</v>
      </c>
      <c r="E76" s="17">
        <f t="shared" si="16"/>
        <v>0.20198717948717945</v>
      </c>
      <c r="F76" s="9">
        <v>13.7</v>
      </c>
      <c r="G76" s="9">
        <v>1</v>
      </c>
    </row>
    <row r="77" spans="1:7" x14ac:dyDescent="0.2">
      <c r="A77" s="1" t="s">
        <v>17</v>
      </c>
      <c r="B77" s="14">
        <v>15</v>
      </c>
      <c r="C77" s="17">
        <f t="shared" si="17"/>
        <v>0.16958666666666666</v>
      </c>
      <c r="D77" s="15">
        <v>63</v>
      </c>
      <c r="E77" s="17">
        <f t="shared" si="16"/>
        <v>0.20188888888888887</v>
      </c>
      <c r="F77" s="10">
        <v>11.06</v>
      </c>
      <c r="G77" s="10">
        <v>1</v>
      </c>
    </row>
    <row r="78" spans="1:7" x14ac:dyDescent="0.2">
      <c r="A78" s="6" t="s">
        <v>70</v>
      </c>
      <c r="B78" s="12">
        <v>150</v>
      </c>
      <c r="C78" s="12"/>
      <c r="D78" s="12"/>
      <c r="E78" s="6"/>
      <c r="F78" s="6"/>
      <c r="G78" s="6"/>
    </row>
    <row r="79" spans="1:7" x14ac:dyDescent="0.2">
      <c r="A79" s="1" t="s">
        <v>71</v>
      </c>
      <c r="B79" s="13"/>
      <c r="C79" s="13"/>
      <c r="D79" s="14">
        <v>102</v>
      </c>
      <c r="E79" s="17">
        <f t="shared" ref="E79:E81" si="18">+(($F79)/($D79/1.15))</f>
        <v>0.30971078431372545</v>
      </c>
      <c r="F79" s="9">
        <v>27.47</v>
      </c>
      <c r="G79" s="9">
        <v>1</v>
      </c>
    </row>
    <row r="80" spans="1:7" x14ac:dyDescent="0.2">
      <c r="A80" s="1" t="s">
        <v>3</v>
      </c>
      <c r="B80" s="14">
        <v>18</v>
      </c>
      <c r="C80" s="17">
        <f t="shared" ref="C80:C81" si="19">+((F80/750)*150)/(B80/1.15)</f>
        <v>0.18336111111111106</v>
      </c>
      <c r="D80" s="14">
        <v>72</v>
      </c>
      <c r="E80" s="17">
        <f t="shared" si="18"/>
        <v>0.22920138888888886</v>
      </c>
      <c r="F80" s="9">
        <v>14.35</v>
      </c>
      <c r="G80" s="9">
        <v>1</v>
      </c>
    </row>
    <row r="81" spans="1:7" x14ac:dyDescent="0.2">
      <c r="A81" s="1" t="s">
        <v>72</v>
      </c>
      <c r="B81" s="14">
        <v>15</v>
      </c>
      <c r="C81" s="17">
        <f t="shared" si="19"/>
        <v>0.13493333333333332</v>
      </c>
      <c r="D81" s="14">
        <v>63</v>
      </c>
      <c r="E81" s="17">
        <f t="shared" si="18"/>
        <v>0.16063492063492063</v>
      </c>
      <c r="F81" s="9">
        <v>8.8000000000000007</v>
      </c>
      <c r="G81" s="9">
        <v>1</v>
      </c>
    </row>
    <row r="82" spans="1:7" x14ac:dyDescent="0.2">
      <c r="A82" s="6" t="s">
        <v>18</v>
      </c>
      <c r="B82" s="12">
        <v>150</v>
      </c>
      <c r="C82" s="12"/>
      <c r="D82" s="12"/>
      <c r="E82" s="6"/>
      <c r="F82" s="6"/>
      <c r="G82" s="6"/>
    </row>
    <row r="83" spans="1:7" x14ac:dyDescent="0.2">
      <c r="A83" s="1" t="s">
        <v>73</v>
      </c>
      <c r="B83" s="13"/>
      <c r="C83" s="13"/>
      <c r="D83" s="14">
        <v>120</v>
      </c>
      <c r="E83" s="17">
        <f t="shared" ref="E83:E84" si="20">+(($F83)/($D83/1.15))</f>
        <v>0.26325416666666662</v>
      </c>
      <c r="F83" s="9">
        <v>27.47</v>
      </c>
      <c r="G83" s="9">
        <v>1</v>
      </c>
    </row>
    <row r="84" spans="1:7" x14ac:dyDescent="0.2">
      <c r="A84" s="1" t="s">
        <v>19</v>
      </c>
      <c r="B84" s="15">
        <v>16</v>
      </c>
      <c r="C84" s="17">
        <f>+((F84/750)*150)/(B84/1.15)</f>
        <v>0.23215624999999995</v>
      </c>
      <c r="D84" s="15">
        <v>72</v>
      </c>
      <c r="E84" s="17">
        <f t="shared" si="20"/>
        <v>0.25795138888888886</v>
      </c>
      <c r="F84" s="10">
        <v>16.149999999999999</v>
      </c>
      <c r="G84" s="10">
        <v>1</v>
      </c>
    </row>
    <row r="85" spans="1:7" x14ac:dyDescent="0.2">
      <c r="A85" s="6" t="s">
        <v>20</v>
      </c>
      <c r="B85" s="12">
        <v>150</v>
      </c>
      <c r="C85" s="12"/>
      <c r="D85" s="12"/>
      <c r="E85" s="6"/>
      <c r="F85" s="6"/>
      <c r="G85" s="6"/>
    </row>
    <row r="86" spans="1:7" x14ac:dyDescent="0.2">
      <c r="A86" s="2" t="s">
        <v>71</v>
      </c>
      <c r="B86" s="13"/>
      <c r="C86" s="13"/>
      <c r="D86" s="15">
        <v>108</v>
      </c>
      <c r="E86" s="17">
        <f t="shared" ref="E86:E88" si="21">+(($F86)/($D86/1.15))</f>
        <v>0.31305555555555553</v>
      </c>
      <c r="F86" s="10">
        <v>29.4</v>
      </c>
      <c r="G86" s="10">
        <v>1</v>
      </c>
    </row>
    <row r="87" spans="1:7" x14ac:dyDescent="0.2">
      <c r="A87" s="1" t="s">
        <v>74</v>
      </c>
      <c r="B87" s="13"/>
      <c r="C87" s="13"/>
      <c r="D87" s="14">
        <v>84</v>
      </c>
      <c r="E87" s="17">
        <f t="shared" si="21"/>
        <v>0.23506547619047619</v>
      </c>
      <c r="F87" s="9">
        <v>17.170000000000002</v>
      </c>
      <c r="G87" s="9">
        <v>1</v>
      </c>
    </row>
    <row r="88" spans="1:7" x14ac:dyDescent="0.2">
      <c r="A88" s="1" t="s">
        <v>21</v>
      </c>
      <c r="B88" s="15">
        <v>17</v>
      </c>
      <c r="C88" s="17">
        <f>+((F88/750)*150)/(B88/1.15)</f>
        <v>0.16532941176470586</v>
      </c>
      <c r="D88" s="15">
        <v>77</v>
      </c>
      <c r="E88" s="17">
        <f t="shared" si="21"/>
        <v>0.18250649350649351</v>
      </c>
      <c r="F88" s="10">
        <v>12.22</v>
      </c>
      <c r="G88" s="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A26EEC667BCA4A8D4FADAB420D305F" ma:contentTypeVersion="19" ma:contentTypeDescription="Create a new document." ma:contentTypeScope="" ma:versionID="41c30f238947c98a32a0afae7fb3a433">
  <xsd:schema xmlns:xsd="http://www.w3.org/2001/XMLSchema" xmlns:xs="http://www.w3.org/2001/XMLSchema" xmlns:p="http://schemas.microsoft.com/office/2006/metadata/properties" xmlns:ns2="a61e1c2a-19fc-4034-af01-4c7e82e894de" xmlns:ns3="0b16c218-ad2c-4fc0-966d-45bbc55959f1" targetNamespace="http://schemas.microsoft.com/office/2006/metadata/properties" ma:root="true" ma:fieldsID="64bfffb5184bb8841afb570b7f19600f" ns2:_="" ns3:_="">
    <xsd:import namespace="a61e1c2a-19fc-4034-af01-4c7e82e894de"/>
    <xsd:import namespace="0b16c218-ad2c-4fc0-966d-45bbc5595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Note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e1c2a-19fc-4034-af01-4c7e82e89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s" ma:index="12" nillable="true" ma:displayName="Contents" ma:format="Dropdown" ma:internalName="Note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a0ad9a-95d6-44d0-bb48-0846f87c2c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6c218-ad2c-4fc0-966d-45bbc5595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29121e-e6e7-420f-933a-7bcb32b08a50}" ma:internalName="TaxCatchAll" ma:showField="CatchAllData" ma:web="0b16c218-ad2c-4fc0-966d-45bbc5595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16c218-ad2c-4fc0-966d-45bbc55959f1" xsi:nil="true"/>
    <Notes xmlns="a61e1c2a-19fc-4034-af01-4c7e82e894de" xsi:nil="true"/>
    <lcf76f155ced4ddcb4097134ff3c332f xmlns="a61e1c2a-19fc-4034-af01-4c7e82e894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354EF3-DE79-4118-96DD-877A21B54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1e1c2a-19fc-4034-af01-4c7e82e894de"/>
    <ds:schemaRef ds:uri="0b16c218-ad2c-4fc0-966d-45bbc5595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899AE3-8498-4D70-B9A5-76737A7062C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b16c218-ad2c-4fc0-966d-45bbc55959f1"/>
    <ds:schemaRef ds:uri="a61e1c2a-19fc-4034-af01-4c7e82e894de"/>
  </ds:schemaRefs>
</ds:datastoreItem>
</file>

<file path=customXml/itemProps3.xml><?xml version="1.0" encoding="utf-8"?>
<ds:datastoreItem xmlns:ds="http://schemas.openxmlformats.org/officeDocument/2006/customXml" ds:itemID="{A8C17F26-079F-4735-88AB-71DC3FD4F4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Menu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Caitlin Edmunds</dc:creator>
  <cp:keywords/>
  <dc:description/>
  <cp:lastModifiedBy>Lucas Penney</cp:lastModifiedBy>
  <cp:revision/>
  <dcterms:created xsi:type="dcterms:W3CDTF">2025-03-16T07:54:20Z</dcterms:created>
  <dcterms:modified xsi:type="dcterms:W3CDTF">2025-11-13T14:55:50Z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0x01010035A26EEC667BCA4A8D4FADAB420D305F</vt:lpwstr>
  </property>
  <property fmtid="{D5CDD505-2E9C-101B-9397-08002B2CF9AE}" pid="3" name="MediaServiceImageTags">
    <vt:lpwstr/>
  </property>
</Properties>
</file>